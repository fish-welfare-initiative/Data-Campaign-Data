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"~" indicates the closest common measurement if the ProDSS one didn't coincide with a 15-minute interval from the monitors.</t>
      </text>
    </comment>
    <comment authorId="0" ref="G19">
      <text>
        <t xml:space="preserve">pH pen</t>
      </text>
    </comment>
    <comment authorId="0" ref="G24">
      <text>
        <t xml:space="preserve">pH pen, not ProDSS</t>
      </text>
    </comment>
  </commentList>
</comments>
</file>

<file path=xl/sharedStrings.xml><?xml version="1.0" encoding="utf-8"?>
<sst xmlns="http://schemas.openxmlformats.org/spreadsheetml/2006/main" count="100" uniqueCount="37">
  <si>
    <t>Date</t>
  </si>
  <si>
    <t>Pond ID</t>
  </si>
  <si>
    <t>Time</t>
  </si>
  <si>
    <t xml:space="preserve">DO </t>
  </si>
  <si>
    <t>pH</t>
  </si>
  <si>
    <t>Temperature</t>
  </si>
  <si>
    <t>ProDSS</t>
  </si>
  <si>
    <t>Monitor</t>
  </si>
  <si>
    <t>Difference (abs)</t>
  </si>
  <si>
    <t>ara2_176528d3</t>
  </si>
  <si>
    <t>ara2_45e1cde5</t>
  </si>
  <si>
    <t>~10:15</t>
  </si>
  <si>
    <t>ara2_b3d128ac</t>
  </si>
  <si>
    <t>~10:00</t>
  </si>
  <si>
    <t>ara2_573a2826</t>
  </si>
  <si>
    <t>~9:30</t>
  </si>
  <si>
    <t>ara2_d52ddb31</t>
  </si>
  <si>
    <t>ara2_6ca69422</t>
  </si>
  <si>
    <t>~9:45</t>
  </si>
  <si>
    <t>ara2_4f79fc8d</t>
  </si>
  <si>
    <t>~10:30</t>
  </si>
  <si>
    <t>ara2_0f143c64</t>
  </si>
  <si>
    <t>~10:45</t>
  </si>
  <si>
    <t>ara2_3ed4df8e</t>
  </si>
  <si>
    <t>ara2_29660d32</t>
  </si>
  <si>
    <t>ara2_0677080b</t>
  </si>
  <si>
    <t>ara2_ca187575</t>
  </si>
  <si>
    <t>~9:15</t>
  </si>
  <si>
    <t>N/A</t>
  </si>
  <si>
    <t>~9:00</t>
  </si>
  <si>
    <t>ara2_3b2f3973</t>
  </si>
  <si>
    <t>ara2_858b914c</t>
  </si>
  <si>
    <t>ara2_3eab831e</t>
  </si>
  <si>
    <t>Janaury 9, 2026</t>
  </si>
  <si>
    <t>~11:15</t>
  </si>
  <si>
    <t>ara2_c9cdacda</t>
  </si>
  <si>
    <t>ara2_148f1633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</si>
</sst>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</border>
    <border>
      <right style="thin">
        <color rgb="FF000000"/>
      </right>
    </border>
    <border>
      <left style="hair">
        <color rgb="FF000000"/>
      </left>
    </border>
    <border>
      <left style="hair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0" fillId="0" fontId="4" numFmtId="164" xfId="0" applyAlignment="1" applyFont="1" applyNumberFormat="1">
      <alignment horizontal="left" readingOrder="0" vertical="center"/>
    </xf>
    <xf borderId="0" fillId="0" fontId="5" numFmtId="0" xfId="0" applyAlignment="1" applyFont="1">
      <alignment readingOrder="0" vertical="bottom"/>
    </xf>
    <xf borderId="0" fillId="0" fontId="4" numFmtId="20" xfId="0" applyAlignment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vertical="bottom"/>
    </xf>
    <xf borderId="3" fillId="2" fontId="4" numFmtId="0" xfId="0" applyAlignment="1" applyBorder="1" applyFill="1" applyFont="1">
      <alignment horizontal="center" readingOrder="0"/>
    </xf>
    <xf borderId="3" fillId="3" fontId="4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4" fillId="0" fontId="5" numFmtId="0" xfId="0" applyAlignment="1" applyBorder="1" applyFont="1">
      <alignment horizontal="center"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 vertical="center"/>
    </xf>
    <xf borderId="0" fillId="0" fontId="4" numFmtId="20" xfId="0" applyAlignment="1" applyFont="1" applyNumberForma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5"/>
    <col customWidth="1" min="6" max="6" width="14.25"/>
    <col customWidth="1" min="9" max="9" width="14.25"/>
    <col customWidth="1" min="12" max="12" width="14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G1" s="2" t="s">
        <v>4</v>
      </c>
      <c r="I1" s="3"/>
      <c r="J1" s="1" t="s">
        <v>5</v>
      </c>
    </row>
    <row r="2">
      <c r="D2" s="4" t="s">
        <v>6</v>
      </c>
      <c r="E2" s="5" t="s">
        <v>7</v>
      </c>
      <c r="F2" s="6" t="s">
        <v>8</v>
      </c>
      <c r="G2" s="4" t="s">
        <v>6</v>
      </c>
      <c r="H2" s="5" t="s">
        <v>7</v>
      </c>
      <c r="I2" s="7" t="s">
        <v>8</v>
      </c>
      <c r="J2" s="5" t="s">
        <v>6</v>
      </c>
      <c r="K2" s="5" t="s">
        <v>7</v>
      </c>
      <c r="L2" s="6" t="s">
        <v>8</v>
      </c>
    </row>
    <row r="3">
      <c r="A3" s="8">
        <v>46006.0</v>
      </c>
      <c r="B3" s="9" t="s">
        <v>9</v>
      </c>
      <c r="C3" s="10">
        <v>0.4375</v>
      </c>
      <c r="D3" s="11">
        <v>5.8</v>
      </c>
      <c r="E3" s="12">
        <v>5.69</v>
      </c>
      <c r="F3" s="13">
        <f t="shared" ref="F3:F21" si="1">ABS(D3-E3)</f>
        <v>0.11</v>
      </c>
      <c r="G3" s="11">
        <v>8.37</v>
      </c>
      <c r="H3" s="12">
        <v>8.72</v>
      </c>
      <c r="I3" s="14">
        <f t="shared" ref="I3:I21" si="2">ABS(G3-H3)</f>
        <v>0.35</v>
      </c>
      <c r="J3" s="12">
        <v>25.0</v>
      </c>
      <c r="K3" s="12">
        <v>24.9</v>
      </c>
      <c r="L3" s="13">
        <f t="shared" ref="L3:L21" si="3">ABS(J3-K3)</f>
        <v>0.1</v>
      </c>
    </row>
    <row r="4">
      <c r="B4" s="9" t="s">
        <v>10</v>
      </c>
      <c r="C4" s="12" t="s">
        <v>11</v>
      </c>
      <c r="D4" s="11">
        <v>6.8</v>
      </c>
      <c r="E4" s="12">
        <v>6.33</v>
      </c>
      <c r="F4" s="13">
        <f t="shared" si="1"/>
        <v>0.47</v>
      </c>
      <c r="G4" s="15">
        <v>8.29</v>
      </c>
      <c r="H4" s="12">
        <v>8.3</v>
      </c>
      <c r="I4" s="14">
        <f t="shared" si="2"/>
        <v>0.01</v>
      </c>
      <c r="J4" s="12">
        <v>24.9</v>
      </c>
      <c r="K4" s="12">
        <v>25.1</v>
      </c>
      <c r="L4" s="13">
        <f t="shared" si="3"/>
        <v>0.2</v>
      </c>
    </row>
    <row r="5">
      <c r="B5" s="9" t="s">
        <v>12</v>
      </c>
      <c r="C5" s="12" t="s">
        <v>13</v>
      </c>
      <c r="D5" s="11">
        <v>6.5</v>
      </c>
      <c r="E5" s="12">
        <v>5.82</v>
      </c>
      <c r="F5" s="13">
        <f t="shared" si="1"/>
        <v>0.68</v>
      </c>
      <c r="G5" s="15">
        <v>8.33</v>
      </c>
      <c r="H5" s="12">
        <v>8.77</v>
      </c>
      <c r="I5" s="14">
        <f t="shared" si="2"/>
        <v>0.44</v>
      </c>
      <c r="J5" s="12">
        <v>25.2</v>
      </c>
      <c r="K5" s="12">
        <v>25.1</v>
      </c>
      <c r="L5" s="13">
        <f t="shared" si="3"/>
        <v>0.1</v>
      </c>
    </row>
    <row r="6">
      <c r="B6" s="9" t="s">
        <v>14</v>
      </c>
      <c r="C6" s="12" t="s">
        <v>15</v>
      </c>
      <c r="D6" s="11">
        <v>4.7</v>
      </c>
      <c r="E6" s="12">
        <v>3.46</v>
      </c>
      <c r="F6" s="16">
        <f t="shared" si="1"/>
        <v>1.24</v>
      </c>
      <c r="G6" s="15">
        <v>8.5</v>
      </c>
      <c r="H6" s="12">
        <v>8.54</v>
      </c>
      <c r="I6" s="14">
        <f t="shared" si="2"/>
        <v>0.04</v>
      </c>
      <c r="J6" s="12">
        <v>24.6</v>
      </c>
      <c r="K6" s="12">
        <v>24.7</v>
      </c>
      <c r="L6" s="13">
        <f t="shared" si="3"/>
        <v>0.1</v>
      </c>
    </row>
    <row r="7">
      <c r="A7" s="8">
        <v>46008.0</v>
      </c>
      <c r="B7" s="9" t="s">
        <v>16</v>
      </c>
      <c r="C7" s="12" t="s">
        <v>15</v>
      </c>
      <c r="D7" s="11">
        <v>7.8</v>
      </c>
      <c r="E7" s="12">
        <v>6.63</v>
      </c>
      <c r="F7" s="16">
        <f t="shared" si="1"/>
        <v>1.17</v>
      </c>
      <c r="G7" s="11">
        <v>8.06</v>
      </c>
      <c r="H7" s="12">
        <v>8.43</v>
      </c>
      <c r="I7" s="14">
        <f t="shared" si="2"/>
        <v>0.37</v>
      </c>
      <c r="J7" s="12">
        <v>25.6</v>
      </c>
      <c r="K7" s="12">
        <v>26.1</v>
      </c>
      <c r="L7" s="13">
        <f t="shared" si="3"/>
        <v>0.5</v>
      </c>
    </row>
    <row r="8">
      <c r="B8" s="9" t="s">
        <v>17</v>
      </c>
      <c r="C8" s="12" t="s">
        <v>18</v>
      </c>
      <c r="D8" s="11">
        <v>4.2</v>
      </c>
      <c r="E8" s="12">
        <v>6.83</v>
      </c>
      <c r="F8" s="16">
        <f t="shared" si="1"/>
        <v>2.63</v>
      </c>
      <c r="G8" s="11">
        <v>7.93</v>
      </c>
      <c r="H8" s="12">
        <v>8.45</v>
      </c>
      <c r="I8" s="14">
        <f t="shared" si="2"/>
        <v>0.52</v>
      </c>
      <c r="J8" s="12">
        <v>25.0</v>
      </c>
      <c r="K8" s="12">
        <v>25.6</v>
      </c>
      <c r="L8" s="13">
        <f t="shared" si="3"/>
        <v>0.6</v>
      </c>
    </row>
    <row r="9">
      <c r="B9" s="9" t="s">
        <v>19</v>
      </c>
      <c r="C9" s="12" t="s">
        <v>20</v>
      </c>
      <c r="D9" s="11">
        <v>5.3</v>
      </c>
      <c r="E9" s="12">
        <v>4.76</v>
      </c>
      <c r="F9" s="13">
        <f t="shared" si="1"/>
        <v>0.54</v>
      </c>
      <c r="G9" s="11">
        <v>8.2</v>
      </c>
      <c r="H9" s="12">
        <v>8.52</v>
      </c>
      <c r="I9" s="14">
        <f t="shared" si="2"/>
        <v>0.32</v>
      </c>
      <c r="J9" s="12">
        <v>25.3</v>
      </c>
      <c r="K9" s="12">
        <v>25.3</v>
      </c>
      <c r="L9" s="13">
        <f t="shared" si="3"/>
        <v>0</v>
      </c>
    </row>
    <row r="10">
      <c r="B10" s="9" t="s">
        <v>21</v>
      </c>
      <c r="C10" s="12" t="s">
        <v>22</v>
      </c>
      <c r="D10" s="11">
        <v>11.2</v>
      </c>
      <c r="E10" s="12">
        <v>9.09</v>
      </c>
      <c r="F10" s="17">
        <f t="shared" si="1"/>
        <v>2.11</v>
      </c>
      <c r="G10" s="11">
        <v>8.46</v>
      </c>
      <c r="H10" s="12">
        <v>8.7</v>
      </c>
      <c r="I10" s="14">
        <f t="shared" si="2"/>
        <v>0.24</v>
      </c>
      <c r="J10" s="12">
        <v>25.4</v>
      </c>
      <c r="K10" s="12">
        <v>25.1</v>
      </c>
      <c r="L10" s="13">
        <f t="shared" si="3"/>
        <v>0.3</v>
      </c>
    </row>
    <row r="11">
      <c r="A11" s="8">
        <v>46011.0</v>
      </c>
      <c r="B11" s="9" t="s">
        <v>23</v>
      </c>
      <c r="C11" s="12" t="s">
        <v>15</v>
      </c>
      <c r="D11" s="11">
        <v>4.4</v>
      </c>
      <c r="E11" s="12">
        <v>3.9</v>
      </c>
      <c r="F11" s="13">
        <f t="shared" si="1"/>
        <v>0.5</v>
      </c>
      <c r="G11" s="11">
        <v>8.27</v>
      </c>
      <c r="H11" s="12">
        <v>6.9</v>
      </c>
      <c r="I11" s="14">
        <f t="shared" si="2"/>
        <v>1.37</v>
      </c>
      <c r="J11" s="12">
        <v>25.0</v>
      </c>
      <c r="K11" s="12">
        <v>24.8</v>
      </c>
      <c r="L11" s="13">
        <f t="shared" si="3"/>
        <v>0.2</v>
      </c>
    </row>
    <row r="12">
      <c r="B12" s="9" t="s">
        <v>24</v>
      </c>
      <c r="C12" s="12" t="s">
        <v>18</v>
      </c>
      <c r="D12" s="11">
        <v>5.2</v>
      </c>
      <c r="E12" s="12">
        <v>5.05</v>
      </c>
      <c r="F12" s="13">
        <f t="shared" si="1"/>
        <v>0.15</v>
      </c>
      <c r="G12" s="11">
        <v>8.09</v>
      </c>
      <c r="H12" s="12">
        <v>8.21</v>
      </c>
      <c r="I12" s="14">
        <f t="shared" si="2"/>
        <v>0.12</v>
      </c>
      <c r="J12" s="12">
        <v>25.2</v>
      </c>
      <c r="K12" s="12">
        <v>25.1</v>
      </c>
      <c r="L12" s="13">
        <f t="shared" si="3"/>
        <v>0.1</v>
      </c>
    </row>
    <row r="13">
      <c r="B13" s="9" t="s">
        <v>25</v>
      </c>
      <c r="C13" s="12" t="s">
        <v>11</v>
      </c>
      <c r="D13" s="11">
        <v>4.6</v>
      </c>
      <c r="E13" s="12">
        <v>4.2</v>
      </c>
      <c r="F13" s="13">
        <f t="shared" si="1"/>
        <v>0.4</v>
      </c>
      <c r="G13" s="11">
        <v>8.28</v>
      </c>
      <c r="H13" s="12">
        <v>8.53</v>
      </c>
      <c r="I13" s="14">
        <f t="shared" si="2"/>
        <v>0.25</v>
      </c>
      <c r="J13" s="12">
        <v>25.5</v>
      </c>
      <c r="K13" s="12">
        <v>25.5</v>
      </c>
      <c r="L13" s="13">
        <f t="shared" si="3"/>
        <v>0</v>
      </c>
    </row>
    <row r="14">
      <c r="B14" s="9" t="s">
        <v>26</v>
      </c>
      <c r="C14" s="10">
        <v>0.4375</v>
      </c>
      <c r="D14" s="11">
        <v>6.8</v>
      </c>
      <c r="E14" s="12">
        <v>6.4</v>
      </c>
      <c r="F14" s="13">
        <f t="shared" si="1"/>
        <v>0.4</v>
      </c>
      <c r="G14" s="11">
        <v>8.15</v>
      </c>
      <c r="H14" s="12">
        <v>8.49</v>
      </c>
      <c r="I14" s="14">
        <f t="shared" si="2"/>
        <v>0.34</v>
      </c>
      <c r="J14" s="12">
        <v>26.0</v>
      </c>
      <c r="K14" s="12">
        <v>26.0</v>
      </c>
      <c r="L14" s="13">
        <f t="shared" si="3"/>
        <v>0</v>
      </c>
    </row>
    <row r="15">
      <c r="A15" s="8">
        <v>46016.0</v>
      </c>
      <c r="B15" s="9" t="s">
        <v>23</v>
      </c>
      <c r="C15" s="10">
        <v>0.3958333333333333</v>
      </c>
      <c r="D15" s="11">
        <v>4.4</v>
      </c>
      <c r="E15" s="12">
        <v>4.54</v>
      </c>
      <c r="F15" s="13">
        <f t="shared" si="1"/>
        <v>0.14</v>
      </c>
      <c r="G15" s="11">
        <v>8.25</v>
      </c>
      <c r="H15" s="12">
        <v>8.59</v>
      </c>
      <c r="I15" s="14">
        <f t="shared" si="2"/>
        <v>0.34</v>
      </c>
      <c r="J15" s="12">
        <v>24.8</v>
      </c>
      <c r="K15" s="12">
        <v>24.8</v>
      </c>
      <c r="L15" s="13">
        <f t="shared" si="3"/>
        <v>0</v>
      </c>
    </row>
    <row r="16">
      <c r="B16" s="9" t="s">
        <v>24</v>
      </c>
      <c r="C16" s="12" t="s">
        <v>13</v>
      </c>
      <c r="D16" s="11">
        <v>3.0</v>
      </c>
      <c r="E16" s="12">
        <v>3.02</v>
      </c>
      <c r="F16" s="13">
        <f t="shared" si="1"/>
        <v>0.02</v>
      </c>
      <c r="G16" s="11">
        <v>8.08</v>
      </c>
      <c r="H16" s="12">
        <v>8.19</v>
      </c>
      <c r="I16" s="14">
        <f t="shared" si="2"/>
        <v>0.11</v>
      </c>
      <c r="J16" s="12">
        <v>25.1</v>
      </c>
      <c r="K16" s="12">
        <v>25.1</v>
      </c>
      <c r="L16" s="13">
        <f t="shared" si="3"/>
        <v>0</v>
      </c>
    </row>
    <row r="17">
      <c r="B17" s="9" t="s">
        <v>25</v>
      </c>
      <c r="C17" s="12" t="s">
        <v>11</v>
      </c>
      <c r="D17" s="11">
        <v>4.1</v>
      </c>
      <c r="E17" s="12">
        <v>3.73</v>
      </c>
      <c r="F17" s="13">
        <f t="shared" si="1"/>
        <v>0.37</v>
      </c>
      <c r="G17" s="11">
        <v>8.2</v>
      </c>
      <c r="H17" s="12">
        <v>8.47</v>
      </c>
      <c r="I17" s="14">
        <f t="shared" si="2"/>
        <v>0.27</v>
      </c>
      <c r="J17" s="12">
        <v>25.3</v>
      </c>
      <c r="K17" s="12">
        <v>25.3</v>
      </c>
      <c r="L17" s="13">
        <f t="shared" si="3"/>
        <v>0</v>
      </c>
    </row>
    <row r="18">
      <c r="B18" s="9" t="s">
        <v>26</v>
      </c>
      <c r="C18" s="10">
        <v>0.4375</v>
      </c>
      <c r="D18" s="11">
        <v>7.3</v>
      </c>
      <c r="E18" s="12">
        <v>6.48</v>
      </c>
      <c r="F18" s="13">
        <f t="shared" si="1"/>
        <v>0.82</v>
      </c>
      <c r="G18" s="11">
        <v>8.21</v>
      </c>
      <c r="H18" s="12">
        <v>8.52</v>
      </c>
      <c r="I18" s="14">
        <f t="shared" si="2"/>
        <v>0.31</v>
      </c>
      <c r="J18" s="12">
        <v>25.8</v>
      </c>
      <c r="K18" s="12">
        <v>25.7</v>
      </c>
      <c r="L18" s="13">
        <f t="shared" si="3"/>
        <v>0.1</v>
      </c>
    </row>
    <row r="19">
      <c r="B19" s="9" t="s">
        <v>17</v>
      </c>
      <c r="C19" s="12" t="s">
        <v>27</v>
      </c>
      <c r="D19" s="11">
        <v>2.74</v>
      </c>
      <c r="E19" s="12">
        <v>3.14</v>
      </c>
      <c r="F19" s="13">
        <f t="shared" si="1"/>
        <v>0.4</v>
      </c>
      <c r="G19" s="11">
        <v>8.0</v>
      </c>
      <c r="H19" s="12">
        <v>8.69</v>
      </c>
      <c r="I19" s="14">
        <f t="shared" si="2"/>
        <v>0.69</v>
      </c>
      <c r="J19" s="12">
        <v>25.0</v>
      </c>
      <c r="K19" s="12">
        <v>26.45</v>
      </c>
      <c r="L19" s="13">
        <f t="shared" si="3"/>
        <v>1.45</v>
      </c>
    </row>
    <row r="20">
      <c r="A20" s="8">
        <v>46021.0</v>
      </c>
      <c r="B20" s="9" t="s">
        <v>23</v>
      </c>
      <c r="C20" s="12" t="s">
        <v>15</v>
      </c>
      <c r="D20" s="11">
        <v>3.3</v>
      </c>
      <c r="E20" s="12">
        <v>1.74</v>
      </c>
      <c r="F20" s="13">
        <f t="shared" si="1"/>
        <v>1.56</v>
      </c>
      <c r="G20" s="11">
        <v>8.2</v>
      </c>
      <c r="H20" s="12">
        <v>8.2</v>
      </c>
      <c r="I20" s="14">
        <f t="shared" si="2"/>
        <v>0</v>
      </c>
      <c r="J20" s="12">
        <v>24.9</v>
      </c>
      <c r="K20" s="12">
        <v>24.8</v>
      </c>
      <c r="L20" s="13">
        <f t="shared" si="3"/>
        <v>0.1</v>
      </c>
    </row>
    <row r="21">
      <c r="B21" s="9" t="s">
        <v>24</v>
      </c>
      <c r="C21" s="12" t="s">
        <v>13</v>
      </c>
      <c r="D21" s="11">
        <v>4.0</v>
      </c>
      <c r="E21" s="12">
        <v>2.38</v>
      </c>
      <c r="F21" s="13">
        <f t="shared" si="1"/>
        <v>1.62</v>
      </c>
      <c r="G21" s="11">
        <v>8.13</v>
      </c>
      <c r="H21" s="12">
        <v>8.07</v>
      </c>
      <c r="I21" s="14">
        <f t="shared" si="2"/>
        <v>0.06</v>
      </c>
      <c r="J21" s="12">
        <v>25.3</v>
      </c>
      <c r="K21" s="12">
        <v>25.4</v>
      </c>
      <c r="L21" s="13">
        <f t="shared" si="3"/>
        <v>0.1</v>
      </c>
    </row>
    <row r="22">
      <c r="B22" s="9" t="s">
        <v>25</v>
      </c>
      <c r="C22" s="12" t="s">
        <v>13</v>
      </c>
      <c r="D22" s="11">
        <v>5.7</v>
      </c>
      <c r="E22" s="12" t="s">
        <v>28</v>
      </c>
      <c r="F22" s="13"/>
      <c r="G22" s="18">
        <v>8.3</v>
      </c>
      <c r="H22" s="19" t="s">
        <v>28</v>
      </c>
      <c r="I22" s="20"/>
      <c r="J22" s="12">
        <v>25.6</v>
      </c>
      <c r="K22" s="12" t="s">
        <v>28</v>
      </c>
      <c r="L22" s="13"/>
    </row>
    <row r="23">
      <c r="B23" s="9" t="s">
        <v>26</v>
      </c>
      <c r="C23" s="10">
        <v>0.4375</v>
      </c>
      <c r="D23" s="11">
        <v>6.2</v>
      </c>
      <c r="E23" s="12">
        <v>5.3</v>
      </c>
      <c r="F23" s="13">
        <f t="shared" ref="F23:F51" si="4">ABS(D23-E23)</f>
        <v>0.9</v>
      </c>
      <c r="G23" s="11">
        <v>8.22</v>
      </c>
      <c r="H23" s="12">
        <v>8.48</v>
      </c>
      <c r="I23" s="14">
        <f t="shared" ref="I23:I43" si="5">ABS(G23-H23)</f>
        <v>0.26</v>
      </c>
      <c r="J23" s="12">
        <v>25.8</v>
      </c>
      <c r="K23" s="12">
        <v>25.8</v>
      </c>
      <c r="L23" s="13">
        <f t="shared" ref="L23:L51" si="6">ABS(J23-K23)</f>
        <v>0</v>
      </c>
    </row>
    <row r="24">
      <c r="B24" s="9" t="s">
        <v>17</v>
      </c>
      <c r="C24" s="12" t="s">
        <v>29</v>
      </c>
      <c r="D24" s="11">
        <v>4.47</v>
      </c>
      <c r="E24" s="12">
        <v>2.57</v>
      </c>
      <c r="F24" s="13">
        <f t="shared" si="4"/>
        <v>1.9</v>
      </c>
      <c r="G24" s="11">
        <v>8.06</v>
      </c>
      <c r="H24" s="12">
        <v>8.56</v>
      </c>
      <c r="I24" s="14">
        <f t="shared" si="5"/>
        <v>0.5</v>
      </c>
      <c r="J24" s="12">
        <v>25.2</v>
      </c>
      <c r="K24" s="12">
        <v>25.0</v>
      </c>
      <c r="L24" s="13">
        <f t="shared" si="6"/>
        <v>0.2</v>
      </c>
    </row>
    <row r="25">
      <c r="A25" s="8">
        <v>46026.0</v>
      </c>
      <c r="B25" s="9" t="s">
        <v>14</v>
      </c>
      <c r="C25" s="10">
        <v>0.3958333333333333</v>
      </c>
      <c r="D25" s="11">
        <v>2.8</v>
      </c>
      <c r="E25" s="12">
        <v>1.55</v>
      </c>
      <c r="F25" s="13">
        <f t="shared" si="4"/>
        <v>1.25</v>
      </c>
      <c r="G25" s="11">
        <v>8.39</v>
      </c>
      <c r="H25" s="12">
        <v>8.46</v>
      </c>
      <c r="I25" s="14">
        <f t="shared" si="5"/>
        <v>0.07</v>
      </c>
      <c r="J25" s="21">
        <v>25.4</v>
      </c>
      <c r="K25" s="12">
        <v>25.6</v>
      </c>
      <c r="L25" s="13">
        <f t="shared" si="6"/>
        <v>0.2</v>
      </c>
    </row>
    <row r="26">
      <c r="B26" s="9" t="s">
        <v>12</v>
      </c>
      <c r="C26" s="10">
        <v>0.4166666666666667</v>
      </c>
      <c r="D26" s="11">
        <v>3.6</v>
      </c>
      <c r="E26" s="12">
        <v>3.41</v>
      </c>
      <c r="F26" s="13">
        <f t="shared" si="4"/>
        <v>0.19</v>
      </c>
      <c r="G26" s="11">
        <v>8.34</v>
      </c>
      <c r="H26" s="12">
        <v>8.7</v>
      </c>
      <c r="I26" s="14">
        <f t="shared" si="5"/>
        <v>0.36</v>
      </c>
      <c r="J26" s="21">
        <v>25.9</v>
      </c>
      <c r="K26" s="12">
        <v>25.9</v>
      </c>
      <c r="L26" s="13">
        <f t="shared" si="6"/>
        <v>0</v>
      </c>
    </row>
    <row r="27">
      <c r="B27" s="9" t="s">
        <v>10</v>
      </c>
      <c r="C27" s="12" t="s">
        <v>11</v>
      </c>
      <c r="D27" s="11">
        <v>4.2</v>
      </c>
      <c r="E27" s="12">
        <v>5.27</v>
      </c>
      <c r="F27" s="13">
        <f t="shared" si="4"/>
        <v>1.07</v>
      </c>
      <c r="G27" s="11">
        <v>8.37</v>
      </c>
      <c r="H27" s="12">
        <v>8.37</v>
      </c>
      <c r="I27" s="14">
        <f t="shared" si="5"/>
        <v>0</v>
      </c>
      <c r="J27" s="21">
        <v>26.1</v>
      </c>
      <c r="K27" s="12">
        <v>26.2</v>
      </c>
      <c r="L27" s="13">
        <f t="shared" si="6"/>
        <v>0.1</v>
      </c>
    </row>
    <row r="28">
      <c r="B28" s="9" t="s">
        <v>9</v>
      </c>
      <c r="C28" s="10">
        <v>0.4375</v>
      </c>
      <c r="D28" s="11">
        <v>5.3</v>
      </c>
      <c r="E28" s="12">
        <v>3.44</v>
      </c>
      <c r="F28" s="13">
        <f t="shared" si="4"/>
        <v>1.86</v>
      </c>
      <c r="G28" s="11">
        <v>8.39</v>
      </c>
      <c r="H28" s="12">
        <v>8.62</v>
      </c>
      <c r="I28" s="14">
        <f t="shared" si="5"/>
        <v>0.23</v>
      </c>
      <c r="J28" s="21">
        <v>26.2</v>
      </c>
      <c r="K28" s="12">
        <v>26.1</v>
      </c>
      <c r="L28" s="13">
        <f t="shared" si="6"/>
        <v>0.1</v>
      </c>
    </row>
    <row r="29">
      <c r="A29" s="8">
        <v>46028.0</v>
      </c>
      <c r="B29" s="9" t="s">
        <v>30</v>
      </c>
      <c r="C29" s="10">
        <v>0.3958333333333333</v>
      </c>
      <c r="D29" s="11">
        <v>8.1</v>
      </c>
      <c r="E29" s="12">
        <v>8.52</v>
      </c>
      <c r="F29" s="13">
        <f t="shared" si="4"/>
        <v>0.42</v>
      </c>
      <c r="G29" s="11">
        <v>8.17</v>
      </c>
      <c r="H29" s="12">
        <v>8.25</v>
      </c>
      <c r="I29" s="14">
        <f t="shared" si="5"/>
        <v>0.08</v>
      </c>
      <c r="J29" s="12">
        <v>25.7</v>
      </c>
      <c r="K29" s="12">
        <v>25.9</v>
      </c>
      <c r="L29" s="13">
        <f t="shared" si="6"/>
        <v>0.2</v>
      </c>
    </row>
    <row r="30">
      <c r="B30" s="9" t="s">
        <v>31</v>
      </c>
      <c r="C30" s="10">
        <v>0.40625</v>
      </c>
      <c r="D30" s="11">
        <v>9.9</v>
      </c>
      <c r="E30" s="12">
        <v>10.85</v>
      </c>
      <c r="F30" s="13">
        <f t="shared" si="4"/>
        <v>0.95</v>
      </c>
      <c r="G30" s="11">
        <v>8.61</v>
      </c>
      <c r="H30" s="12">
        <v>8.7</v>
      </c>
      <c r="I30" s="14">
        <f t="shared" si="5"/>
        <v>0.09</v>
      </c>
      <c r="J30" s="12">
        <v>25.8</v>
      </c>
      <c r="K30" s="12">
        <v>26.3</v>
      </c>
      <c r="L30" s="13">
        <f t="shared" si="6"/>
        <v>0.5</v>
      </c>
    </row>
    <row r="31">
      <c r="B31" s="9" t="s">
        <v>32</v>
      </c>
      <c r="C31" s="10">
        <v>0.4375</v>
      </c>
      <c r="D31" s="11">
        <v>3.7</v>
      </c>
      <c r="E31" s="12">
        <v>4.34</v>
      </c>
      <c r="F31" s="13">
        <f t="shared" si="4"/>
        <v>0.64</v>
      </c>
      <c r="G31" s="11">
        <v>8.58</v>
      </c>
      <c r="H31" s="12">
        <v>8.84</v>
      </c>
      <c r="I31" s="14">
        <f t="shared" si="5"/>
        <v>0.26</v>
      </c>
      <c r="J31" s="12">
        <v>25.7</v>
      </c>
      <c r="K31" s="12">
        <v>25.9</v>
      </c>
      <c r="L31" s="13">
        <f t="shared" si="6"/>
        <v>0.2</v>
      </c>
    </row>
    <row r="32">
      <c r="A32" s="22" t="s">
        <v>33</v>
      </c>
      <c r="B32" s="9" t="s">
        <v>16</v>
      </c>
      <c r="C32" s="10">
        <v>0.3958333333333333</v>
      </c>
      <c r="D32" s="11">
        <v>4.3</v>
      </c>
      <c r="E32" s="12">
        <v>2.28</v>
      </c>
      <c r="F32" s="13">
        <f t="shared" si="4"/>
        <v>2.02</v>
      </c>
      <c r="G32" s="11">
        <v>8.06</v>
      </c>
      <c r="H32" s="12">
        <v>8.38</v>
      </c>
      <c r="I32" s="14">
        <f t="shared" si="5"/>
        <v>0.32</v>
      </c>
      <c r="J32" s="12">
        <v>25.3</v>
      </c>
      <c r="K32" s="12">
        <v>25.2</v>
      </c>
      <c r="L32" s="13">
        <f t="shared" si="6"/>
        <v>0.1</v>
      </c>
    </row>
    <row r="33">
      <c r="B33" s="9" t="s">
        <v>17</v>
      </c>
      <c r="C33" s="12" t="s">
        <v>18</v>
      </c>
      <c r="D33" s="11">
        <v>4.5</v>
      </c>
      <c r="E33" s="12">
        <v>2.23</v>
      </c>
      <c r="F33" s="13">
        <f t="shared" si="4"/>
        <v>2.27</v>
      </c>
      <c r="G33" s="11">
        <v>8.02</v>
      </c>
      <c r="H33" s="12">
        <v>8.16</v>
      </c>
      <c r="I33" s="14">
        <f t="shared" si="5"/>
        <v>0.14</v>
      </c>
      <c r="J33" s="12">
        <v>24.2</v>
      </c>
      <c r="K33" s="12">
        <v>26.04</v>
      </c>
      <c r="L33" s="13">
        <f t="shared" si="6"/>
        <v>1.84</v>
      </c>
    </row>
    <row r="34">
      <c r="B34" s="9" t="s">
        <v>19</v>
      </c>
      <c r="C34" s="12" t="s">
        <v>13</v>
      </c>
      <c r="D34" s="11">
        <v>5.4</v>
      </c>
      <c r="E34" s="12">
        <v>5.79</v>
      </c>
      <c r="F34" s="13">
        <f t="shared" si="4"/>
        <v>0.39</v>
      </c>
      <c r="G34" s="11">
        <v>8.31</v>
      </c>
      <c r="H34" s="12">
        <v>8.67</v>
      </c>
      <c r="I34" s="14">
        <f t="shared" si="5"/>
        <v>0.36</v>
      </c>
      <c r="J34" s="12">
        <v>24.5</v>
      </c>
      <c r="K34" s="12">
        <v>24.2</v>
      </c>
      <c r="L34" s="13">
        <f t="shared" si="6"/>
        <v>0.3</v>
      </c>
    </row>
    <row r="35">
      <c r="B35" s="9" t="s">
        <v>21</v>
      </c>
      <c r="C35" s="10">
        <v>0.4375</v>
      </c>
      <c r="D35" s="11">
        <v>7.0</v>
      </c>
      <c r="E35" s="12">
        <v>5.52</v>
      </c>
      <c r="F35" s="13">
        <f t="shared" si="4"/>
        <v>1.48</v>
      </c>
      <c r="G35" s="11">
        <v>8.29</v>
      </c>
      <c r="H35" s="12">
        <v>8.53</v>
      </c>
      <c r="I35" s="14">
        <f t="shared" si="5"/>
        <v>0.24</v>
      </c>
      <c r="J35" s="12">
        <v>24.3</v>
      </c>
      <c r="K35" s="12">
        <v>24.6</v>
      </c>
      <c r="L35" s="13">
        <f t="shared" si="6"/>
        <v>0.3</v>
      </c>
    </row>
    <row r="36">
      <c r="A36" s="8">
        <v>46041.0</v>
      </c>
      <c r="B36" s="9" t="s">
        <v>14</v>
      </c>
      <c r="C36" s="12" t="s">
        <v>18</v>
      </c>
      <c r="D36" s="11">
        <v>3.9</v>
      </c>
      <c r="E36" s="12">
        <v>2.3</v>
      </c>
      <c r="F36" s="13">
        <f t="shared" si="4"/>
        <v>1.6</v>
      </c>
      <c r="G36" s="11">
        <v>8.39</v>
      </c>
      <c r="H36" s="12">
        <v>8.5</v>
      </c>
      <c r="I36" s="14">
        <f t="shared" si="5"/>
        <v>0.11</v>
      </c>
      <c r="J36" s="12">
        <v>25.9</v>
      </c>
      <c r="K36" s="12">
        <v>26.0</v>
      </c>
      <c r="L36" s="13">
        <f t="shared" si="6"/>
        <v>0.1</v>
      </c>
    </row>
    <row r="37">
      <c r="B37" s="9" t="s">
        <v>12</v>
      </c>
      <c r="C37" s="12" t="s">
        <v>13</v>
      </c>
      <c r="D37" s="11">
        <v>6.6</v>
      </c>
      <c r="E37" s="12">
        <v>6.56</v>
      </c>
      <c r="F37" s="13">
        <f t="shared" si="4"/>
        <v>0.04</v>
      </c>
      <c r="G37" s="11">
        <v>8.33</v>
      </c>
      <c r="H37" s="12">
        <v>8.8</v>
      </c>
      <c r="I37" s="14">
        <f t="shared" si="5"/>
        <v>0.47</v>
      </c>
      <c r="J37" s="12">
        <v>26.2</v>
      </c>
      <c r="K37" s="12">
        <v>26.2</v>
      </c>
      <c r="L37" s="13">
        <f t="shared" si="6"/>
        <v>0</v>
      </c>
    </row>
    <row r="38">
      <c r="B38" s="9" t="s">
        <v>10</v>
      </c>
      <c r="C38" s="12" t="s">
        <v>13</v>
      </c>
      <c r="D38" s="11">
        <v>4.2</v>
      </c>
      <c r="E38" s="12">
        <v>3.91</v>
      </c>
      <c r="F38" s="13">
        <f t="shared" si="4"/>
        <v>0.29</v>
      </c>
      <c r="G38" s="11">
        <v>8.34</v>
      </c>
      <c r="H38" s="12">
        <v>8.37</v>
      </c>
      <c r="I38" s="14">
        <f t="shared" si="5"/>
        <v>0.03</v>
      </c>
      <c r="J38" s="12">
        <v>25.9</v>
      </c>
      <c r="K38" s="12">
        <v>26.1</v>
      </c>
      <c r="L38" s="13">
        <f t="shared" si="6"/>
        <v>0.2</v>
      </c>
    </row>
    <row r="39">
      <c r="B39" s="9" t="s">
        <v>9</v>
      </c>
      <c r="C39" s="10">
        <v>0.4375</v>
      </c>
      <c r="D39" s="11">
        <v>4.5</v>
      </c>
      <c r="E39" s="12">
        <v>4.95</v>
      </c>
      <c r="F39" s="13">
        <f t="shared" si="4"/>
        <v>0.45</v>
      </c>
      <c r="G39" s="11">
        <v>8.39</v>
      </c>
      <c r="H39" s="12">
        <v>8.63</v>
      </c>
      <c r="I39" s="14">
        <f t="shared" si="5"/>
        <v>0.24</v>
      </c>
      <c r="J39" s="12">
        <v>25.9</v>
      </c>
      <c r="K39" s="12">
        <v>25.9</v>
      </c>
      <c r="L39" s="13">
        <f t="shared" si="6"/>
        <v>0</v>
      </c>
    </row>
    <row r="40">
      <c r="A40" s="8">
        <v>46046.0</v>
      </c>
      <c r="B40" s="9" t="s">
        <v>16</v>
      </c>
      <c r="C40" s="12" t="s">
        <v>15</v>
      </c>
      <c r="D40" s="11">
        <v>5.7</v>
      </c>
      <c r="E40" s="12">
        <v>2.28</v>
      </c>
      <c r="F40" s="13">
        <f t="shared" si="4"/>
        <v>3.42</v>
      </c>
      <c r="G40" s="11">
        <v>8.0</v>
      </c>
      <c r="H40" s="12">
        <v>8.43</v>
      </c>
      <c r="I40" s="14">
        <f t="shared" si="5"/>
        <v>0.43</v>
      </c>
      <c r="J40" s="12">
        <v>26.4</v>
      </c>
      <c r="K40" s="12">
        <v>26.3</v>
      </c>
      <c r="L40" s="13">
        <f t="shared" si="6"/>
        <v>0.1</v>
      </c>
    </row>
    <row r="41">
      <c r="B41" s="9" t="s">
        <v>17</v>
      </c>
      <c r="C41" s="12" t="s">
        <v>18</v>
      </c>
      <c r="D41" s="11">
        <v>7.2</v>
      </c>
      <c r="E41" s="12">
        <v>7.98</v>
      </c>
      <c r="F41" s="13">
        <f t="shared" si="4"/>
        <v>0.78</v>
      </c>
      <c r="G41" s="11">
        <v>8.24</v>
      </c>
      <c r="H41" s="12">
        <v>8.34</v>
      </c>
      <c r="I41" s="14">
        <f t="shared" si="5"/>
        <v>0.1</v>
      </c>
      <c r="J41" s="12">
        <v>25.7</v>
      </c>
      <c r="K41" s="12">
        <v>25.8</v>
      </c>
      <c r="L41" s="13">
        <f t="shared" si="6"/>
        <v>0.1</v>
      </c>
    </row>
    <row r="42">
      <c r="B42" s="9" t="s">
        <v>19</v>
      </c>
      <c r="C42" s="12" t="s">
        <v>13</v>
      </c>
      <c r="D42" s="11">
        <v>7.3</v>
      </c>
      <c r="E42" s="12">
        <v>4.78</v>
      </c>
      <c r="F42" s="13">
        <f t="shared" si="4"/>
        <v>2.52</v>
      </c>
      <c r="G42" s="11">
        <v>8.44</v>
      </c>
      <c r="H42" s="12">
        <v>8.66</v>
      </c>
      <c r="I42" s="14">
        <f t="shared" si="5"/>
        <v>0.22</v>
      </c>
      <c r="J42" s="12">
        <v>25.9</v>
      </c>
      <c r="K42" s="12">
        <v>25.7</v>
      </c>
      <c r="L42" s="13">
        <f t="shared" si="6"/>
        <v>0.2</v>
      </c>
    </row>
    <row r="43">
      <c r="B43" s="9" t="s">
        <v>21</v>
      </c>
      <c r="C43" s="10">
        <v>0.4375</v>
      </c>
      <c r="D43" s="11">
        <v>5.5</v>
      </c>
      <c r="E43" s="12">
        <v>7.55</v>
      </c>
      <c r="F43" s="13">
        <f t="shared" si="4"/>
        <v>2.05</v>
      </c>
      <c r="G43" s="11">
        <v>8.22</v>
      </c>
      <c r="H43" s="12">
        <v>8.64</v>
      </c>
      <c r="I43" s="14">
        <f t="shared" si="5"/>
        <v>0.42</v>
      </c>
      <c r="J43" s="12">
        <v>25.9</v>
      </c>
      <c r="K43" s="12">
        <v>26.0</v>
      </c>
      <c r="L43" s="13">
        <f t="shared" si="6"/>
        <v>0.1</v>
      </c>
    </row>
    <row r="44">
      <c r="A44" s="8">
        <v>46048.0</v>
      </c>
      <c r="B44" s="9" t="s">
        <v>26</v>
      </c>
      <c r="C44" s="12" t="s">
        <v>18</v>
      </c>
      <c r="D44" s="11">
        <v>6.3</v>
      </c>
      <c r="E44" s="12">
        <v>6.38</v>
      </c>
      <c r="F44" s="13">
        <f t="shared" si="4"/>
        <v>0.08</v>
      </c>
      <c r="G44" s="11">
        <v>8.24</v>
      </c>
      <c r="H44" s="12" t="s">
        <v>28</v>
      </c>
      <c r="I44" s="14"/>
      <c r="J44" s="12">
        <v>26.4</v>
      </c>
      <c r="K44" s="12">
        <v>26.5</v>
      </c>
      <c r="L44" s="13">
        <f t="shared" si="6"/>
        <v>0.1</v>
      </c>
    </row>
    <row r="45">
      <c r="B45" s="9" t="s">
        <v>25</v>
      </c>
      <c r="C45" s="12" t="s">
        <v>13</v>
      </c>
      <c r="D45" s="11">
        <v>4.8</v>
      </c>
      <c r="E45" s="12">
        <v>4.87</v>
      </c>
      <c r="F45" s="13">
        <f t="shared" si="4"/>
        <v>0.07</v>
      </c>
      <c r="G45" s="11">
        <v>8.26</v>
      </c>
      <c r="H45" s="12">
        <v>8.57</v>
      </c>
      <c r="I45" s="14">
        <f t="shared" ref="I45:I51" si="7">ABS(G45-H45)</f>
        <v>0.31</v>
      </c>
      <c r="J45" s="12">
        <v>26.3</v>
      </c>
      <c r="K45" s="12">
        <v>26.3</v>
      </c>
      <c r="L45" s="13">
        <f t="shared" si="6"/>
        <v>0</v>
      </c>
    </row>
    <row r="46">
      <c r="B46" s="9" t="s">
        <v>24</v>
      </c>
      <c r="C46" s="10">
        <v>0.4375</v>
      </c>
      <c r="D46" s="11">
        <v>5.1</v>
      </c>
      <c r="E46" s="12">
        <v>5.33</v>
      </c>
      <c r="F46" s="13">
        <f t="shared" si="4"/>
        <v>0.23</v>
      </c>
      <c r="G46" s="11">
        <v>8.13</v>
      </c>
      <c r="H46" s="12">
        <v>7.98</v>
      </c>
      <c r="I46" s="14">
        <f t="shared" si="7"/>
        <v>0.15</v>
      </c>
      <c r="J46" s="12">
        <v>26.4</v>
      </c>
      <c r="K46" s="12">
        <v>26.3</v>
      </c>
      <c r="L46" s="13">
        <f t="shared" si="6"/>
        <v>0.1</v>
      </c>
    </row>
    <row r="47">
      <c r="B47" s="9" t="s">
        <v>23</v>
      </c>
      <c r="C47" s="12" t="s">
        <v>34</v>
      </c>
      <c r="D47" s="11">
        <v>8.3</v>
      </c>
      <c r="E47" s="12">
        <v>8.51</v>
      </c>
      <c r="F47" s="13">
        <f t="shared" si="4"/>
        <v>0.21</v>
      </c>
      <c r="G47" s="11">
        <v>8.4</v>
      </c>
      <c r="H47" s="12">
        <v>8.34</v>
      </c>
      <c r="I47" s="14">
        <f t="shared" si="7"/>
        <v>0.06</v>
      </c>
      <c r="J47" s="12">
        <v>26.5</v>
      </c>
      <c r="K47" s="12">
        <v>26.5</v>
      </c>
      <c r="L47" s="13">
        <f t="shared" si="6"/>
        <v>0</v>
      </c>
    </row>
    <row r="48">
      <c r="A48" s="8">
        <v>46051.0</v>
      </c>
      <c r="B48" s="9" t="s">
        <v>32</v>
      </c>
      <c r="C48" s="23">
        <v>0.3958333333333333</v>
      </c>
      <c r="D48" s="11">
        <v>4.1</v>
      </c>
      <c r="E48" s="12">
        <v>4.37</v>
      </c>
      <c r="F48" s="13">
        <f t="shared" si="4"/>
        <v>0.27</v>
      </c>
      <c r="G48" s="11">
        <v>8.53</v>
      </c>
      <c r="H48" s="12">
        <v>8.83</v>
      </c>
      <c r="I48" s="14">
        <f t="shared" si="7"/>
        <v>0.3</v>
      </c>
      <c r="J48" s="12">
        <v>26.2</v>
      </c>
      <c r="K48" s="12">
        <v>26.3</v>
      </c>
      <c r="L48" s="13">
        <f t="shared" si="6"/>
        <v>0.1</v>
      </c>
    </row>
    <row r="49">
      <c r="B49" s="9" t="s">
        <v>35</v>
      </c>
      <c r="C49" s="21" t="s">
        <v>18</v>
      </c>
      <c r="D49" s="11">
        <v>4.2</v>
      </c>
      <c r="E49" s="12">
        <v>5.06</v>
      </c>
      <c r="F49" s="13">
        <f t="shared" si="4"/>
        <v>0.86</v>
      </c>
      <c r="G49" s="11">
        <v>8.04</v>
      </c>
      <c r="H49" s="12">
        <v>8.08</v>
      </c>
      <c r="I49" s="14">
        <f t="shared" si="7"/>
        <v>0.04</v>
      </c>
      <c r="J49" s="12">
        <v>26.5</v>
      </c>
      <c r="K49" s="12">
        <v>26.8</v>
      </c>
      <c r="L49" s="13">
        <f t="shared" si="6"/>
        <v>0.3</v>
      </c>
    </row>
    <row r="50">
      <c r="B50" s="9" t="s">
        <v>30</v>
      </c>
      <c r="C50" s="21" t="s">
        <v>13</v>
      </c>
      <c r="D50" s="11">
        <v>7.6</v>
      </c>
      <c r="E50" s="12">
        <v>7.44</v>
      </c>
      <c r="F50" s="13">
        <f t="shared" si="4"/>
        <v>0.16</v>
      </c>
      <c r="G50" s="11">
        <v>8.3</v>
      </c>
      <c r="H50" s="12">
        <v>8.48</v>
      </c>
      <c r="I50" s="14">
        <f t="shared" si="7"/>
        <v>0.18</v>
      </c>
      <c r="J50" s="12">
        <v>26.4</v>
      </c>
      <c r="K50" s="12">
        <v>26.5</v>
      </c>
      <c r="L50" s="13">
        <f t="shared" si="6"/>
        <v>0.1</v>
      </c>
    </row>
    <row r="51">
      <c r="B51" s="9" t="s">
        <v>36</v>
      </c>
      <c r="C51" s="23">
        <v>0.4375</v>
      </c>
      <c r="D51" s="11">
        <v>4.0</v>
      </c>
      <c r="E51" s="12">
        <v>4.75</v>
      </c>
      <c r="F51" s="13">
        <f t="shared" si="4"/>
        <v>0.75</v>
      </c>
      <c r="G51" s="11">
        <v>7.98</v>
      </c>
      <c r="H51" s="12">
        <v>8.08</v>
      </c>
      <c r="I51" s="14">
        <f t="shared" si="7"/>
        <v>0.1</v>
      </c>
      <c r="J51" s="12">
        <v>26.5</v>
      </c>
      <c r="K51" s="12">
        <v>27.0</v>
      </c>
      <c r="L51" s="13">
        <f t="shared" si="6"/>
        <v>0.5</v>
      </c>
    </row>
  </sheetData>
  <mergeCells count="18">
    <mergeCell ref="A1:A2"/>
    <mergeCell ref="B1:B2"/>
    <mergeCell ref="C1:C2"/>
    <mergeCell ref="D1:F1"/>
    <mergeCell ref="G1:I1"/>
    <mergeCell ref="J1:L1"/>
    <mergeCell ref="A3:A6"/>
    <mergeCell ref="A36:A39"/>
    <mergeCell ref="A40:A43"/>
    <mergeCell ref="A44:A47"/>
    <mergeCell ref="A48:A51"/>
    <mergeCell ref="A7:A10"/>
    <mergeCell ref="A11:A14"/>
    <mergeCell ref="A15:A19"/>
    <mergeCell ref="A20:A24"/>
    <mergeCell ref="A25:A28"/>
    <mergeCell ref="A29:A31"/>
    <mergeCell ref="A32:A35"/>
  </mergeCells>
  <conditionalFormatting sqref="F3:F51">
    <cfRule type="cellIs" dxfId="0" priority="1" operator="between">
      <formula>0.5</formula>
      <formula>1.49</formula>
    </cfRule>
  </conditionalFormatting>
  <conditionalFormatting sqref="F3:F51">
    <cfRule type="cellIs" dxfId="1" priority="2" operator="greaterThanOrEqual">
      <formula>1.5</formula>
    </cfRule>
  </conditionalFormatting>
  <conditionalFormatting sqref="I3:I51">
    <cfRule type="cellIs" dxfId="0" priority="3" operator="between">
      <formula>0.4</formula>
      <formula>0.75</formula>
    </cfRule>
  </conditionalFormatting>
  <conditionalFormatting sqref="I3:I51">
    <cfRule type="cellIs" dxfId="1" priority="4" operator="greaterThanOrEqual">
      <formula>0.76</formula>
    </cfRule>
  </conditionalFormatting>
  <conditionalFormatting sqref="L3:L51">
    <cfRule type="cellIs" dxfId="0" priority="5" operator="between">
      <formula>0.51</formula>
      <formula>1.49</formula>
    </cfRule>
  </conditionalFormatting>
  <conditionalFormatting sqref="L3:L51">
    <cfRule type="cellIs" dxfId="1" priority="6" operator="greaterThanOrEqual">
      <formula>1.5</formula>
    </cfRule>
  </conditionalFormatting>
  <drawing r:id="rId2"/>
  <legacyDrawing r:id="rId3"/>
</worksheet>
</file>